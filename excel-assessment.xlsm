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261162\Downloads\"/>
    </mc:Choice>
  </mc:AlternateContent>
  <xr:revisionPtr revIDLastSave="0" documentId="13_ncr:1_{F6B2B6A9-088A-462F-8116-37DD7FD492BB}" xr6:coauthVersionLast="47" xr6:coauthVersionMax="47" xr10:uidLastSave="{00000000-0000-0000-0000-000000000000}"/>
  <bookViews>
    <workbookView xWindow="-110" yWindow="-110" windowWidth="19420" windowHeight="10420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/>
  <c r="C30" i="18"/>
  <c r="D30" i="18"/>
  <c r="E30" i="18"/>
  <c r="F30" i="18"/>
  <c r="B30" i="18"/>
  <c r="C29" i="18"/>
  <c r="D29" i="18"/>
  <c r="E29" i="18"/>
  <c r="F29" i="18"/>
  <c r="B29" i="18"/>
  <c r="E28" i="18"/>
  <c r="F28" i="18"/>
  <c r="F6" i="18" a="1"/>
  <c r="F6" i="18" s="1"/>
  <c r="E6" i="18" a="1"/>
  <c r="E6" i="18" s="1"/>
  <c r="D6" i="18" a="1"/>
  <c r="D6" i="18" s="1"/>
  <c r="D28" i="18" s="1"/>
  <c r="C6" i="18" a="1"/>
  <c r="C6" i="18" s="1"/>
  <c r="C28" i="18" s="1"/>
  <c r="B6" i="18" a="1"/>
  <c r="B6" i="18" s="1"/>
  <c r="B28" i="18" s="1"/>
  <c r="AA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<sst xmlns="http://schemas.openxmlformats.org/spreadsheetml/2006/main" count="407" uniqueCount="184">
  <si>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</si>
  <si>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</si>
  <si>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</si>
  <si>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</si>
  <si>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</si>
  <si>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</si>
  <si>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</si>
  <si>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</si>
  <si>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</si>
  <si>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</si>
  <si>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</si>
  <si>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</si>
  <si>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</si>
  <si>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</si>
  <si>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</si>
  <si>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</si>
  <si>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</si>
  <si>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</si>
  <si>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</si>
  <si>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</si>
  <si>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</si>
  <si>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</si>
  <si>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</si>
  <si>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</si>
  <si>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</si>
  <si>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</si>
  <si>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</si>
  <si>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</si>
  <si>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</si>
  <si>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</si>
  <si>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</si>
  <si>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</si>
  <si>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</si>
  <si>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</si>
  <si>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</si>
  <si>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</si>
  <si>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</si>
  <si>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</si>
  <si>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</si>
  <si>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</si>
  <si>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</si>
  <si>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</si>
  <si>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</si>
  <si>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</si>
  <si>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</si>
  <si>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</si>
  <si>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</si>
  <si>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</si>
  <si>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</si>
  <si>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</si>
  <si>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</si>
  <si>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</si>
  <si>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</si>
  <si>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</si>
  <si>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</si>
  <si>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</si>
  <si>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</si>
  <si>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</si>
  <si>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</si>
  <si>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</si>
  <si>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</si>
  <si>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</si>
  <si>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</si>
  <si>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</si>
  <si>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</si>
  <si>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</si>
  <si>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</si>
  <si>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</si>
  <si>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</si>
  <si>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</si>
  <si>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</si>
  <si>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</si>
  <si>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</si>
  <si>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</si>
  <si>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</si>
  <si>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</si>
  <si>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</si>
  <si>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</si>
  <si>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</si>
  <si>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</si>
  <si>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</si>
  <si>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</si>
  <si>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</si>
  <si>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</si>
  <si>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</si>
  <si>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</si>
  <si>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</si>
  <si>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</si>
  <si>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</si>
  <si>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</si>
  <si>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</si>
  <si>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</si>
  <si>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</si>
  <si>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</si>
  <si>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</si>
  <si>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</si>
  <si>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</si>
  <si>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</si>
  <si>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</si>
  <si>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</si>
  <si>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</si>
  <si>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</si>
  <si>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</si>
  <si>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</si>
  <si>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</si>
  <si>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</si>
  <si>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</si>
  <si>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</si>
  <si>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</si>
  <si>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</si>
  <si>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</si>
  <si>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</si>
  <si>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</si>
  <si>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</si>
  <si>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</si>
  <si>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</si>
  <si>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</si>
  <si>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</si>
  <si>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</si>
  <si>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</si>
  <si>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</si>
  <si>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</si>
  <si>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</si>
  <si>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</si>
  <si>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</si>
  <si>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</si>
  <si>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</si>
  <si>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</si>
  <si>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</si>
  <si>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</si>
  <si>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</si>
  <si>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</si>
  <si>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</si>
  <si>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</si>
  <si>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</si>
  <si>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</si>
  <si>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</si>
  <si>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</si>
  <si>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</si>
  <si>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</si>
  <si>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</si>
  <si>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</si>
  <si>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</si>
  <si>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</si>
  <si>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</si>
  <si>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</si>
  <si>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</si>
  <si>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</si>
  <si>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</si>
  <si>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</si>
  <si>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</si>
  <si>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</si>
  <si>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</si>
  <si>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</si>
  <si>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</si>
  <si>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</si>
  <si>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</si>
  <si>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</si>
  <si>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</si>
  <si>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</si>
  <si>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</si>
  <si>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</si>
  <si>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</si>
  <si>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</si>
  <si>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</si>
  <si>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</si>
  <si>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</si>
  <si>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</si>
  <si>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</si>
  <si>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</si>
  <si>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</si>
  <si>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</si>
  <si>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</si>
  <si>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</si>
  <si>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</si>
  <si>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</si>
  <si>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</si>
  <si>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Task 1</t>
  </si>
  <si>
    <t>Sum(Car2)</t>
  </si>
  <si>
    <t>Formula=SUMIF(H2:H40,"&gt;20")</t>
  </si>
  <si>
    <t>Selected a random cell in the first row, and on the View tab,  go to Freeze panel, there selected Freeze the top row.</t>
  </si>
  <si>
    <t>Selected a date range and changed the date 
format to 'YYYY-MM-DD' on the Home tab.</t>
  </si>
  <si>
    <t>Find and Replace method</t>
  </si>
  <si>
    <t>I used Find and Replace  to solve this. 
Typed #N/A into the Find what  field and then replaced it with 20 in Replace field.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</si>
</sst>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3" fillId="0" borderId="0" xfId="0" applyNumberFormat="1" applyFont="1"/>
    <xf numFmtId="0" fontId="8" fillId="0" borderId="0" xfId="0" applyFont="1" applyAlignment="1">
      <alignment wrapText="1"/>
    </xf>
    <xf numFmtId="0" fontId="3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6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40"/>
  <sheetViews>
    <sheetView topLeftCell="K1" zoomScale="76" zoomScaleNormal="100" workbookViewId="0">
      <pane ySplit="1" topLeftCell="A4" activePane="bottomLeft" state="frozen"/>
      <selection pane="bottomLeft" activeCell="V24" sqref="V24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25" width="9" style="1"/>
    <col min="26" max="26" width="11.5" style="1" customWidth="1"/>
    <col min="27" max="16384" width="9" style="1"/>
  </cols>
  <sheetData>
    <row r="1" spans="1:27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7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7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  <c r="Z3" s="1" t="s">
        <v>177</v>
      </c>
    </row>
    <row r="4" spans="1:27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  <c r="Z4" s="1" t="s">
        <v>178</v>
      </c>
      <c r="AA4" s="1" t="b">
        <f>Task_1!C5=SUMIF(H2:H40,"&gt;20")</f>
        <v>0</v>
      </c>
    </row>
    <row r="5" spans="1:27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7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7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7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7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7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7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7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7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7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7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7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</conditionalFormatting>
  <conditionalFormatting sqref="G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43.3984375" style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ht="39.5" x14ac:dyDescent="0.35">
      <c r="A4" s="6">
        <v>2</v>
      </c>
      <c r="B4" s="2" t="s">
        <v>46</v>
      </c>
      <c r="C4" s="46" t="s">
        <v>180</v>
      </c>
      <c r="E4" s="1">
        <v>5</v>
      </c>
    </row>
    <row r="5" spans="1:5" x14ac:dyDescent="0.35">
      <c r="A5" s="6">
        <v>3</v>
      </c>
      <c r="B5" s="2" t="s">
        <v>104</v>
      </c>
      <c r="C5" s="2" t="s">
        <v>179</v>
      </c>
      <c r="E5" s="1">
        <v>10</v>
      </c>
    </row>
    <row r="6" spans="1:5" ht="26.5" x14ac:dyDescent="0.35">
      <c r="A6" s="6">
        <v>4</v>
      </c>
      <c r="B6" s="2" t="s">
        <v>106</v>
      </c>
      <c r="C6" s="46" t="s">
        <v>181</v>
      </c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4" zoomScaleNormal="100" workbookViewId="0">
      <selection activeCell="G34" sqref="G34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 cm="1">
        <f t="array" ref="B6:B27">VLOOKUP(A6:A27,Dataset!A2:X40,7,0)</f>
        <v>2.7</v>
      </c>
      <c r="C6" s="12" cm="1">
        <f t="array" ref="C6:C27">VLOOKUP(A6:A27,Dataset!A2:X40,14,0)</f>
        <v>7.6</v>
      </c>
      <c r="D6" s="12" cm="1">
        <f t="array" ref="D6:D27">VLOOKUP(A6:A27,Dataset!A2:X40,18,0)</f>
        <v>4.2</v>
      </c>
      <c r="E6" s="12" cm="1">
        <f t="array" ref="E6:E27">VLOOKUP(A6:A27,Dataset!A2:X40,20,0)</f>
        <v>8.9</v>
      </c>
      <c r="F6" s="8" cm="1">
        <f t="array" ref="F6:F27">VLOOKUP(A6:A27,Dataset!A2:X40,22,0)</f>
        <v>4.2</v>
      </c>
    </row>
    <row r="7" spans="1:7" ht="14.5" x14ac:dyDescent="0.35">
      <c r="A7" s="7" t="s">
        <v>4</v>
      </c>
      <c r="B7" s="12"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7" ht="14.5" x14ac:dyDescent="0.35">
      <c r="A8" s="7" t="s">
        <v>7</v>
      </c>
      <c r="B8" s="12">
        <v>3.6</v>
      </c>
      <c r="C8" s="12">
        <v>11.1</v>
      </c>
      <c r="D8" s="12">
        <v>5.8</v>
      </c>
      <c r="E8" s="12">
        <v>12.2</v>
      </c>
      <c r="F8" s="8">
        <v>5.8</v>
      </c>
    </row>
    <row r="9" spans="1:7" ht="14.5" x14ac:dyDescent="0.35">
      <c r="A9" s="7" t="s">
        <v>8</v>
      </c>
      <c r="B9" s="12">
        <v>4.9000000000000004</v>
      </c>
      <c r="C9" s="12">
        <v>13.3</v>
      </c>
      <c r="D9" s="12">
        <v>8.1</v>
      </c>
      <c r="E9" s="12">
        <v>17</v>
      </c>
      <c r="F9" s="8">
        <v>8.1</v>
      </c>
    </row>
    <row r="10" spans="1:7" ht="14.5" x14ac:dyDescent="0.35">
      <c r="A10" s="7" t="s">
        <v>11</v>
      </c>
      <c r="B10" s="12">
        <v>9.4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4.5" x14ac:dyDescent="0.35">
      <c r="A11" s="7" t="s">
        <v>12</v>
      </c>
      <c r="B11" s="12"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4.5" x14ac:dyDescent="0.35">
      <c r="A12" s="7" t="s">
        <v>14</v>
      </c>
      <c r="B12" s="12"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4.5" x14ac:dyDescent="0.35">
      <c r="A13" s="7" t="s">
        <v>15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4.5" x14ac:dyDescent="0.35">
      <c r="A14" s="7" t="s">
        <v>16</v>
      </c>
      <c r="B14" s="12">
        <v>21.9</v>
      </c>
      <c r="C14" s="12">
        <v>61.5</v>
      </c>
      <c r="D14" s="12">
        <v>40.1</v>
      </c>
      <c r="E14" s="12">
        <v>76.599999999999994</v>
      </c>
      <c r="F14" s="8">
        <v>40.1</v>
      </c>
    </row>
    <row r="15" spans="1:7" ht="14.5" x14ac:dyDescent="0.35">
      <c r="A15" s="7" t="s">
        <v>18</v>
      </c>
      <c r="B15" s="12"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7" ht="14.5" x14ac:dyDescent="0.35">
      <c r="A16" s="7" t="s">
        <v>20</v>
      </c>
      <c r="B16" s="1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4.5" x14ac:dyDescent="0.35">
      <c r="A17" s="7" t="s">
        <v>22</v>
      </c>
      <c r="B17" s="12"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4.5" x14ac:dyDescent="0.35">
      <c r="A18" s="7" t="s">
        <v>23</v>
      </c>
      <c r="B18" s="1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4.5" x14ac:dyDescent="0.35">
      <c r="A19" s="7" t="s">
        <v>24</v>
      </c>
      <c r="B19" s="12"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6" ht="14.5" x14ac:dyDescent="0.35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4.5" x14ac:dyDescent="0.35">
      <c r="A21" s="7" t="s">
        <v>57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4.5" x14ac:dyDescent="0.35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4.5" x14ac:dyDescent="0.35">
      <c r="A23" s="7" t="s">
        <v>31</v>
      </c>
      <c r="B23" s="1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6" ht="14.5" x14ac:dyDescent="0.35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4.5" x14ac:dyDescent="0.35">
      <c r="A25" s="7" t="s">
        <v>34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4.5" x14ac:dyDescent="0.35">
      <c r="A26" s="7" t="s">
        <v>37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4.5" x14ac:dyDescent="0.35">
      <c r="A27" s="7" t="s">
        <v>39</v>
      </c>
      <c r="B27" s="12"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4.5" x14ac:dyDescent="0.35">
      <c r="A28" s="19" t="s">
        <v>82</v>
      </c>
      <c r="B28" s="31">
        <f>MIN(_xlfn.ANCHORARRAY(B6))</f>
        <v>-1</v>
      </c>
      <c r="C28" s="31">
        <f>MIN(_xlfn.ANCHORARRAY(C6))</f>
        <v>-1</v>
      </c>
      <c r="D28" s="31">
        <f>MIN(_xlfn.ANCHORARRAY(D6))</f>
        <v>-1</v>
      </c>
      <c r="E28" s="31">
        <f t="shared" ref="E28:F28" si="0">MIN(_xlfn.ANCHORARRAY(E6))</f>
        <v>-1</v>
      </c>
      <c r="F28" s="31">
        <f t="shared" si="0"/>
        <v>-1</v>
      </c>
    </row>
    <row r="29" spans="1:6" ht="14.5" x14ac:dyDescent="0.35">
      <c r="A29" s="19" t="s">
        <v>83</v>
      </c>
      <c r="B29" s="31">
        <f>MAX(_xlfn.ANCHORARRAY(B6))</f>
        <v>51.8</v>
      </c>
      <c r="C29" s="31">
        <f t="shared" ref="C29:F29" si="1">MAX(_xlfn.ANCHORARRAY(C6))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5" x14ac:dyDescent="0.35">
      <c r="A30" s="19" t="s">
        <v>84</v>
      </c>
      <c r="B30" s="31">
        <f>AVERAGE(_xlfn.ANCHORARRAY(B6))</f>
        <v>20.827272727272728</v>
      </c>
      <c r="C30" s="31">
        <f t="shared" ref="C30:F30" si="2">AVERAGE(_xlfn.ANCHORARRAY(C6))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="78" zoomScaleNormal="100" workbookViewId="0">
      <selection activeCell="A16" sqref="A1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/>
    </row>
    <row r="6" spans="1:10" ht="18.5" x14ac:dyDescent="0.45">
      <c r="A6" s="42" t="s">
        <v>153</v>
      </c>
      <c r="B6" s="39"/>
    </row>
    <row r="7" spans="1:10" ht="18.5" x14ac:dyDescent="0.45">
      <c r="A7" s="42"/>
      <c r="B7" s="39"/>
    </row>
    <row r="9" spans="1:10" ht="23.5" x14ac:dyDescent="0.55000000000000004">
      <c r="A9" s="18" t="s">
        <v>165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162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abSelected="1" topLeftCell="A5" zoomScale="71" zoomScaleNormal="100" workbookViewId="0">
      <selection activeCell="B8" sqref="B8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167</v>
      </c>
    </row>
    <row r="2" spans="1:3" ht="18.5" x14ac:dyDescent="0.45">
      <c r="B2" s="39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182</v>
      </c>
    </row>
    <row r="7" spans="1:3" ht="130.5" x14ac:dyDescent="0.35">
      <c r="A7" s="3" t="s">
        <v>153</v>
      </c>
      <c r="B7" s="47" t="s">
        <v>183</v>
      </c>
    </row>
    <row r="10" spans="1:3" ht="23.5" x14ac:dyDescent="0.55000000000000004">
      <c r="A10" s="18" t="s">
        <v>162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>
        <v>20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>
        <v>20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154</v>
      </c>
      <c r="C17" s="17">
        <v>150</v>
      </c>
    </row>
    <row r="18" spans="1:3" ht="14.5" x14ac:dyDescent="0.35">
      <c r="A18" s="32">
        <v>44933</v>
      </c>
      <c r="B18" s="17" t="s">
        <v>155</v>
      </c>
      <c r="C18" s="17">
        <v>80</v>
      </c>
    </row>
    <row r="19" spans="1:3" ht="14.5" x14ac:dyDescent="0.35">
      <c r="A19" s="32">
        <v>44934</v>
      </c>
      <c r="B19" s="17" t="s">
        <v>156</v>
      </c>
      <c r="C19" s="17">
        <v>20</v>
      </c>
    </row>
    <row r="20" spans="1:3" ht="14.5" x14ac:dyDescent="0.35">
      <c r="A20" s="32">
        <v>44935</v>
      </c>
      <c r="B20" s="17" t="s">
        <v>157</v>
      </c>
      <c r="C20" s="17">
        <v>30</v>
      </c>
    </row>
    <row r="21" spans="1:3" ht="14.5" x14ac:dyDescent="0.35">
      <c r="A21" s="32">
        <v>44936</v>
      </c>
      <c r="B21" s="17" t="s">
        <v>158</v>
      </c>
      <c r="C21" s="17">
        <v>20</v>
      </c>
    </row>
    <row r="22" spans="1:3" ht="14.5" x14ac:dyDescent="0.35">
      <c r="B22" s="17" t="s">
        <v>159</v>
      </c>
      <c r="C22" s="25">
        <f>SUM(C12:C21)</f>
        <v>600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="71" zoomScaleNormal="71" workbookViewId="0">
      <selection activeCell="O6" sqref="O6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</row>
    <row r="5" spans="1:14" ht="18.5" x14ac:dyDescent="0.45">
      <c r="A5" s="42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8" t="s">
        <v>162</v>
      </c>
      <c r="M8" s="18" t="s">
        <v>163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168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3"/>
    </row>
    <row r="24" spans="1:14" ht="14.5" x14ac:dyDescent="0.35">
      <c r="A24" s="7">
        <v>10100</v>
      </c>
      <c r="B24" s="12">
        <v>10104</v>
      </c>
      <c r="C24" s="43"/>
    </row>
    <row r="25" spans="1:14" ht="14.5" x14ac:dyDescent="0.35">
      <c r="A25" s="7">
        <v>10108</v>
      </c>
      <c r="B25" s="12">
        <v>10102</v>
      </c>
      <c r="C25" s="43"/>
    </row>
    <row r="26" spans="1:14" ht="14.5" x14ac:dyDescent="0.35">
      <c r="A26" s="7">
        <v>10100</v>
      </c>
      <c r="B26" s="12">
        <v>10106</v>
      </c>
      <c r="C26" s="43"/>
    </row>
    <row r="27" spans="1:14" ht="14.5" x14ac:dyDescent="0.35">
      <c r="A27" s="7">
        <v>10108</v>
      </c>
      <c r="B27" s="12">
        <v>10110</v>
      </c>
      <c r="C27" s="43"/>
    </row>
    <row r="28" spans="1:14" ht="14.5" x14ac:dyDescent="0.35">
      <c r="A28" s="7">
        <v>10102</v>
      </c>
      <c r="B28" s="12">
        <v>10104</v>
      </c>
      <c r="C28" s="43"/>
    </row>
    <row r="29" spans="1:14" ht="14.5" x14ac:dyDescent="0.35">
      <c r="A29" s="7">
        <v>10106</v>
      </c>
      <c r="B29" s="12">
        <v>10108</v>
      </c>
      <c r="C29" s="43"/>
    </row>
    <row r="30" spans="1:14" ht="14.5" x14ac:dyDescent="0.35">
      <c r="A30" s="7">
        <v>10102</v>
      </c>
      <c r="B30" s="12">
        <v>10106</v>
      </c>
      <c r="C30" s="43"/>
    </row>
    <row r="31" spans="1:14" ht="14.5" x14ac:dyDescent="0.35">
      <c r="A31" s="7">
        <v>10110</v>
      </c>
      <c r="B31" s="12">
        <v>10114</v>
      </c>
      <c r="C31" s="43"/>
    </row>
    <row r="32" spans="1:14" ht="14.5" x14ac:dyDescent="0.35">
      <c r="A32" s="7">
        <v>10104</v>
      </c>
      <c r="B32" s="12">
        <v>10106</v>
      </c>
      <c r="C32" s="43"/>
    </row>
    <row r="33" spans="1:3" ht="14.5" x14ac:dyDescent="0.35">
      <c r="A33" s="7">
        <v>10110</v>
      </c>
      <c r="B33" s="12">
        <v>10112</v>
      </c>
      <c r="C33" s="43"/>
    </row>
    <row r="34" spans="1:3" ht="14.5" x14ac:dyDescent="0.35">
      <c r="A34" s="7">
        <v>10100</v>
      </c>
      <c r="B34" s="12">
        <v>10114</v>
      </c>
      <c r="C34" s="43"/>
    </row>
    <row r="35" spans="1:3" ht="14.5" x14ac:dyDescent="0.35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Keerthana R</cp:lastModifiedBy>
  <dcterms:created xsi:type="dcterms:W3CDTF">2015-02-10T17:33:11Z</dcterms:created>
  <dcterms:modified xsi:type="dcterms:W3CDTF">2023-12-09T17:09:04Z</dcterms:modified>
</cp:coreProperties>
</file>